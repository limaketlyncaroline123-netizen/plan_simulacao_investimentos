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mak\Downloads\"/>
    </mc:Choice>
  </mc:AlternateContent>
  <xr:revisionPtr revIDLastSave="0" documentId="13_ncr:1_{F8941D3C-20AA-4650-8A23-A02E822052E3}" xr6:coauthVersionLast="47" xr6:coauthVersionMax="47" xr10:uidLastSave="{00000000-0000-0000-0000-000000000000}"/>
  <bookViews>
    <workbookView xWindow="-108" yWindow="-108" windowWidth="23256" windowHeight="12456" tabRatio="0" xr2:uid="{CCA9F238-8383-46BC-B6FA-6BF0B74C276E}"/>
  </bookViews>
  <sheets>
    <sheet name="Investimentos" sheetId="1" r:id="rId1"/>
    <sheet name="Planilha2" sheetId="3" r:id="rId2"/>
  </sheets>
  <definedNames>
    <definedName name="aporte">Investimentos!$D$17</definedName>
    <definedName name="qtd_anos">Investimentos!$D$18</definedName>
    <definedName name="rendimento_carteira">Investimentos!$D$13</definedName>
    <definedName name="salario">Investimentos!$D$12</definedName>
    <definedName name="sugestao_investimento">Investimentos!$D$14</definedName>
    <definedName name="taxa_mensal">Investimentos!$D$19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9" i="1" l="1"/>
  <c r="C36" i="1"/>
  <c r="C37" i="1"/>
  <c r="C38" i="1"/>
  <c r="C39" i="1"/>
  <c r="C40" i="1"/>
  <c r="C41" i="1"/>
  <c r="A15" i="3"/>
  <c r="A16" i="3"/>
  <c r="A17" i="3"/>
  <c r="A18" i="3"/>
  <c r="A19" i="3"/>
  <c r="A20" i="3"/>
  <c r="A10" i="3"/>
  <c r="A11" i="3"/>
  <c r="A12" i="3"/>
  <c r="A13" i="3"/>
  <c r="A14" i="3"/>
  <c r="A9" i="3"/>
  <c r="A4" i="3"/>
  <c r="A5" i="3"/>
  <c r="A6" i="3"/>
  <c r="A7" i="3"/>
  <c r="A8" i="3"/>
  <c r="A3" i="3"/>
  <c r="C33" i="1"/>
  <c r="D14" i="1"/>
  <c r="C25" i="1" l="1"/>
  <c r="D25" i="1" s="1"/>
  <c r="C26" i="1"/>
  <c r="D26" i="1" s="1"/>
  <c r="C28" i="1"/>
  <c r="D28" i="1" s="1"/>
  <c r="C29" i="1"/>
  <c r="D29" i="1" s="1"/>
  <c r="C27" i="1"/>
  <c r="D27" i="1" s="1"/>
  <c r="C30" i="1"/>
  <c r="D30" i="1" s="1"/>
  <c r="D20" i="1"/>
  <c r="D21" i="1" s="1"/>
  <c r="D38" i="1"/>
  <c r="D40" i="1"/>
  <c r="D36" i="1"/>
  <c r="D37" i="1"/>
  <c r="D39" i="1"/>
  <c r="D41" i="1"/>
  <c r="D42" i="1" l="1"/>
</calcChain>
</file>

<file path=xl/sharedStrings.xml><?xml version="1.0" encoding="utf-8"?>
<sst xmlns="http://schemas.openxmlformats.org/spreadsheetml/2006/main" count="70" uniqueCount="36">
  <si>
    <t xml:space="preserve"> Quanto investir por mês?</t>
  </si>
  <si>
    <t xml:space="preserve"> Por quantos Anos? </t>
  </si>
  <si>
    <t>Taxa de rendimento mensal?</t>
  </si>
  <si>
    <t xml:space="preserve"> Patrimônio acumulado?</t>
  </si>
  <si>
    <t>INVESTIMENTO MENSAL</t>
  </si>
  <si>
    <t xml:space="preserve"> Dividendos mensais?</t>
  </si>
  <si>
    <t>CENÁRIOS</t>
  </si>
  <si>
    <t>Quanto em 2 anos?</t>
  </si>
  <si>
    <t>Quanto em 5 anos?</t>
  </si>
  <si>
    <t>Quanto em 10 anos?</t>
  </si>
  <si>
    <t>Quanto em 15 anos?</t>
  </si>
  <si>
    <t>Quanto em 20 anos?</t>
  </si>
  <si>
    <t>Quanto em 30 anos?</t>
  </si>
  <si>
    <t>DIVIDENDOS</t>
  </si>
  <si>
    <t>CONFIGURAÇÕES</t>
  </si>
  <si>
    <t>Rendimento de Carteira</t>
  </si>
  <si>
    <t>Salário</t>
  </si>
  <si>
    <t>PERFIL</t>
  </si>
  <si>
    <t>Moderado</t>
  </si>
  <si>
    <t>VALOR A SER INVESTIDO POR MÊS</t>
  </si>
  <si>
    <t>TIPOS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</si>
  <si>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</si>
  <si>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</si>
  <si>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</si>
  <si>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</si>
  <si>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</si>
  <si>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</si>
  <si>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</si>
  <si>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</si>
  <si>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TIPO DE FII</t>
  </si>
  <si>
    <t>Conservador</t>
  </si>
  <si>
    <t>%</t>
  </si>
  <si>
    <t>CHAVE</t>
  </si>
  <si>
    <t>Agressivo</t>
  </si>
  <si>
    <t>Sugestão de investimento (30%)</t>
  </si>
  <si>
    <t>PERFIL DE INVESTIMENTO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</si>
</sst>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0"/>
      <name val="Segoe UI"/>
      <family val="2"/>
    </font>
    <font>
      <sz val="11"/>
      <color theme="1"/>
      <name val="Segoe UI"/>
      <family val="2"/>
    </font>
    <font>
      <sz val="13"/>
      <color theme="1"/>
      <name val="Segoe UI"/>
      <family val="2"/>
    </font>
    <font>
      <b/>
      <sz val="16"/>
      <color theme="0"/>
      <name val="Segoe UI"/>
      <family val="2"/>
    </font>
    <font>
      <b/>
      <sz val="11"/>
      <color theme="1"/>
      <name val="Segoe UI"/>
      <family val="2"/>
    </font>
    <font>
      <sz val="14"/>
      <color theme="1"/>
      <name val="Segoe UI"/>
      <family val="2"/>
    </font>
    <font>
      <b/>
      <sz val="16"/>
      <color theme="1"/>
      <name val="Segoe UI"/>
      <family val="2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11D3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theme="0" tint="-0.34998626667073579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 style="medium">
        <color indexed="64"/>
      </right>
      <top style="medium">
        <color theme="0" tint="-0.499984740745262"/>
      </top>
      <bottom style="medium">
        <color theme="0" tint="-0.499984740745262"/>
      </bottom>
      <diagonal/>
    </border>
    <border>
      <left style="medium">
        <color indexed="64"/>
      </left>
      <right style="medium">
        <color theme="0" tint="-0.499984740745262"/>
      </right>
      <top style="medium">
        <color theme="0" tint="-0.499984740745262"/>
      </top>
      <bottom style="medium">
        <color indexed="64"/>
      </bottom>
      <diagonal/>
    </border>
    <border>
      <left style="medium">
        <color theme="0" tint="-0.499984740745262"/>
      </left>
      <right style="medium">
        <color indexed="64"/>
      </right>
      <top style="medium">
        <color theme="0" tint="-0.499984740745262"/>
      </top>
      <bottom style="medium">
        <color indexed="64"/>
      </bottom>
      <diagonal/>
    </border>
    <border>
      <left style="thick">
        <color indexed="64"/>
      </left>
      <right style="medium">
        <color theme="0" tint="-0.499984740745262"/>
      </right>
      <top style="thick">
        <color indexed="64"/>
      </top>
      <bottom style="medium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thick">
        <color indexed="64"/>
      </top>
      <bottom style="medium">
        <color theme="0" tint="-0.499984740745262"/>
      </bottom>
      <diagonal/>
    </border>
    <border>
      <left style="medium">
        <color theme="0" tint="-0.499984740745262"/>
      </left>
      <right style="thick">
        <color indexed="64"/>
      </right>
      <top style="thick">
        <color indexed="64"/>
      </top>
      <bottom style="medium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 style="thick">
        <color indexed="64"/>
      </right>
      <top style="medium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 style="thick">
        <color indexed="64"/>
      </right>
      <top style="medium">
        <color theme="0" tint="-0.499984740745262"/>
      </top>
      <bottom style="thick">
        <color indexed="64"/>
      </bottom>
      <diagonal/>
    </border>
    <border>
      <left style="medium">
        <color indexed="64"/>
      </left>
      <right style="medium">
        <color theme="0" tint="-0.499984740745262"/>
      </right>
      <top style="medium">
        <color indexed="64"/>
      </top>
      <bottom style="medium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indexed="64"/>
      </top>
      <bottom style="medium">
        <color theme="0" tint="-0.499984740745262"/>
      </bottom>
      <diagonal/>
    </border>
    <border>
      <left style="medium">
        <color theme="0" tint="-0.499984740745262"/>
      </left>
      <right style="medium">
        <color indexed="64"/>
      </right>
      <top style="medium">
        <color indexed="64"/>
      </top>
      <bottom style="medium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medium">
        <color indexed="64"/>
      </bottom>
      <diagonal/>
    </border>
    <border>
      <left style="thick">
        <color indexed="64"/>
      </left>
      <right/>
      <top style="medium">
        <color theme="0" tint="-0.499984740745262"/>
      </top>
      <bottom style="thick">
        <color indexed="64"/>
      </bottom>
      <diagonal/>
    </border>
    <border>
      <left/>
      <right style="medium">
        <color theme="0" tint="-0.499984740745262"/>
      </right>
      <top style="medium">
        <color theme="0" tint="-0.499984740745262"/>
      </top>
      <bottom style="thick">
        <color indexed="64"/>
      </bottom>
      <diagonal/>
    </border>
    <border>
      <left style="thick">
        <color indexed="64"/>
      </left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2">
    <xf numFmtId="0" fontId="0" fillId="0" borderId="0" xfId="0"/>
    <xf numFmtId="0" fontId="0" fillId="0" borderId="0" xfId="0" applyAlignment="1">
      <alignment horizontal="right" vertical="center"/>
    </xf>
    <xf numFmtId="0" fontId="2" fillId="0" borderId="0" xfId="0" applyFont="1"/>
    <xf numFmtId="0" fontId="5" fillId="0" borderId="0" xfId="0" applyFont="1"/>
    <xf numFmtId="0" fontId="4" fillId="0" borderId="0" xfId="0" applyFont="1"/>
    <xf numFmtId="164" fontId="4" fillId="0" borderId="9" xfId="0" applyNumberFormat="1" applyFont="1" applyBorder="1" applyAlignment="1">
      <alignment horizontal="center" vertical="center"/>
    </xf>
    <xf numFmtId="164" fontId="7" fillId="0" borderId="9" xfId="1" applyNumberFormat="1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8" fontId="7" fillId="3" borderId="9" xfId="0" applyNumberFormat="1" applyFont="1" applyFill="1" applyBorder="1" applyAlignment="1">
      <alignment horizontal="center" vertical="center"/>
    </xf>
    <xf numFmtId="8" fontId="7" fillId="3" borderId="10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2" borderId="13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 indent="4"/>
    </xf>
    <xf numFmtId="0" fontId="8" fillId="3" borderId="3" xfId="0" applyFont="1" applyFill="1" applyBorder="1" applyAlignment="1">
      <alignment horizontal="left" vertical="center" indent="4"/>
    </xf>
    <xf numFmtId="164" fontId="5" fillId="3" borderId="8" xfId="0" applyNumberFormat="1" applyFont="1" applyFill="1" applyBorder="1" applyAlignment="1">
      <alignment horizontal="center" vertical="center"/>
    </xf>
    <xf numFmtId="164" fontId="5" fillId="3" borderId="14" xfId="0" applyNumberFormat="1" applyFont="1" applyFill="1" applyBorder="1" applyAlignment="1">
      <alignment horizontal="center" vertical="center"/>
    </xf>
    <xf numFmtId="164" fontId="5" fillId="3" borderId="2" xfId="0" applyNumberFormat="1" applyFont="1" applyFill="1" applyBorder="1" applyAlignment="1">
      <alignment horizontal="center" vertical="center"/>
    </xf>
    <xf numFmtId="164" fontId="5" fillId="3" borderId="4" xfId="0" applyNumberFormat="1" applyFont="1" applyFill="1" applyBorder="1" applyAlignment="1">
      <alignment horizontal="center" vertical="center"/>
    </xf>
    <xf numFmtId="0" fontId="0" fillId="2" borderId="0" xfId="0" applyFill="1"/>
    <xf numFmtId="0" fontId="10" fillId="4" borderId="19" xfId="0" applyFont="1" applyFill="1" applyBorder="1" applyAlignment="1">
      <alignment vertical="center"/>
    </xf>
    <xf numFmtId="164" fontId="12" fillId="2" borderId="0" xfId="0" applyNumberFormat="1" applyFont="1" applyFill="1" applyAlignment="1">
      <alignment horizontal="center" vertical="center"/>
    </xf>
    <xf numFmtId="0" fontId="11" fillId="4" borderId="21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left" indent="4"/>
    </xf>
    <xf numFmtId="0" fontId="8" fillId="3" borderId="18" xfId="0" applyFont="1" applyFill="1" applyBorder="1" applyAlignment="1">
      <alignment horizontal="left" indent="4"/>
    </xf>
    <xf numFmtId="0" fontId="8" fillId="3" borderId="15" xfId="0" applyFont="1" applyFill="1" applyBorder="1" applyAlignment="1">
      <alignment horizontal="left" indent="4"/>
    </xf>
    <xf numFmtId="0" fontId="8" fillId="3" borderId="16" xfId="0" applyFont="1" applyFill="1" applyBorder="1" applyAlignment="1">
      <alignment horizontal="left" indent="4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11" xfId="0" applyFont="1" applyFill="1" applyBorder="1" applyAlignment="1">
      <alignment horizontal="left" vertical="center"/>
    </xf>
    <xf numFmtId="0" fontId="3" fillId="2" borderId="12" xfId="0" applyFont="1" applyFill="1" applyBorder="1" applyAlignment="1">
      <alignment horizontal="left" vertical="center"/>
    </xf>
    <xf numFmtId="0" fontId="14" fillId="3" borderId="0" xfId="0" applyFont="1" applyFill="1" applyAlignment="1">
      <alignment horizontal="left" indent="4"/>
    </xf>
    <xf numFmtId="9" fontId="14" fillId="0" borderId="0" xfId="0" applyNumberFormat="1" applyFont="1" applyAlignment="1">
      <alignment horizontal="center" vertical="center"/>
    </xf>
    <xf numFmtId="164" fontId="14" fillId="3" borderId="0" xfId="0" applyNumberFormat="1" applyFont="1" applyFill="1" applyAlignment="1">
      <alignment horizontal="center" vertical="center"/>
    </xf>
    <xf numFmtId="9" fontId="14" fillId="0" borderId="22" xfId="0" applyNumberFormat="1" applyFont="1" applyBorder="1" applyAlignment="1">
      <alignment horizontal="center" vertical="center"/>
    </xf>
    <xf numFmtId="0" fontId="0" fillId="4" borderId="24" xfId="0" applyFill="1" applyBorder="1" applyAlignment="1">
      <alignment horizontal="center"/>
    </xf>
    <xf numFmtId="0" fontId="14" fillId="0" borderId="23" xfId="0" applyFont="1" applyBorder="1"/>
    <xf numFmtId="0" fontId="14" fillId="0" borderId="23" xfId="0" applyFont="1" applyBorder="1" applyAlignment="1">
      <alignment horizontal="center"/>
    </xf>
    <xf numFmtId="0" fontId="0" fillId="4" borderId="25" xfId="0" applyFill="1" applyBorder="1"/>
    <xf numFmtId="0" fontId="0" fillId="4" borderId="26" xfId="0" applyFill="1" applyBorder="1" applyAlignment="1">
      <alignment horizontal="center"/>
    </xf>
    <xf numFmtId="0" fontId="14" fillId="0" borderId="27" xfId="0" applyFont="1" applyBorder="1"/>
    <xf numFmtId="0" fontId="14" fillId="0" borderId="0" xfId="0" applyFont="1" applyBorder="1"/>
    <xf numFmtId="0" fontId="14" fillId="0" borderId="0" xfId="0" applyFont="1" applyBorder="1" applyAlignment="1">
      <alignment horizontal="center"/>
    </xf>
    <xf numFmtId="9" fontId="14" fillId="0" borderId="28" xfId="0" applyNumberFormat="1" applyFont="1" applyBorder="1" applyAlignment="1">
      <alignment horizontal="center" vertical="center"/>
    </xf>
    <xf numFmtId="0" fontId="14" fillId="0" borderId="29" xfId="0" applyFont="1" applyBorder="1"/>
    <xf numFmtId="9" fontId="14" fillId="0" borderId="30" xfId="0" applyNumberFormat="1" applyFont="1" applyBorder="1" applyAlignment="1">
      <alignment horizontal="center" vertical="center"/>
    </xf>
    <xf numFmtId="0" fontId="14" fillId="0" borderId="31" xfId="0" applyFont="1" applyBorder="1"/>
    <xf numFmtId="0" fontId="14" fillId="0" borderId="22" xfId="0" applyFont="1" applyBorder="1"/>
    <xf numFmtId="0" fontId="14" fillId="0" borderId="22" xfId="0" applyFont="1" applyBorder="1" applyAlignment="1">
      <alignment horizontal="center"/>
    </xf>
    <xf numFmtId="9" fontId="14" fillId="0" borderId="32" xfId="0" applyNumberFormat="1" applyFont="1" applyBorder="1" applyAlignment="1">
      <alignment horizontal="center" vertical="center"/>
    </xf>
    <xf numFmtId="164" fontId="7" fillId="3" borderId="10" xfId="0" applyNumberFormat="1" applyFont="1" applyFill="1" applyBorder="1" applyAlignment="1">
      <alignment horizontal="center" vertical="center"/>
    </xf>
    <xf numFmtId="0" fontId="2" fillId="5" borderId="0" xfId="0" applyFont="1" applyFill="1"/>
    <xf numFmtId="0" fontId="0" fillId="5" borderId="0" xfId="0" applyFill="1"/>
    <xf numFmtId="164" fontId="15" fillId="5" borderId="0" xfId="0" applyNumberFormat="1" applyFont="1" applyFill="1" applyAlignment="1">
      <alignment horizontal="center" vertical="center"/>
    </xf>
    <xf numFmtId="164" fontId="14" fillId="3" borderId="22" xfId="0" applyNumberFormat="1" applyFont="1" applyFill="1" applyBorder="1" applyAlignment="1">
      <alignment horizontal="center" vertical="center"/>
    </xf>
    <xf numFmtId="0" fontId="14" fillId="3" borderId="22" xfId="0" applyFont="1" applyFill="1" applyBorder="1" applyAlignment="1">
      <alignment horizontal="left" indent="4"/>
    </xf>
    <xf numFmtId="0" fontId="13" fillId="5" borderId="22" xfId="0" applyFont="1" applyFill="1" applyBorder="1" applyAlignment="1">
      <alignment horizontal="center" vertical="center"/>
    </xf>
    <xf numFmtId="0" fontId="0" fillId="0" borderId="0" xfId="0" applyFont="1"/>
    <xf numFmtId="10" fontId="4" fillId="0" borderId="9" xfId="0" applyNumberFormat="1" applyFont="1" applyBorder="1" applyAlignment="1">
      <alignment horizontal="center" vertical="center"/>
    </xf>
    <xf numFmtId="10" fontId="7" fillId="3" borderId="9" xfId="2" applyNumberFormat="1" applyFont="1" applyFill="1" applyBorder="1" applyAlignment="1">
      <alignment horizontal="center" vertical="center"/>
    </xf>
    <xf numFmtId="0" fontId="9" fillId="4" borderId="20" xfId="0" applyFont="1" applyFill="1" applyBorder="1" applyAlignment="1">
      <alignment horizontal="left" vertical="center" indent="2"/>
    </xf>
    <xf numFmtId="0" fontId="16" fillId="2" borderId="0" xfId="0" applyFont="1" applyFill="1" applyAlignment="1">
      <alignment horizontal="left" vertical="center" indent="2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colors>
    <mruColors>
      <color rgb="FF7FFFD4"/>
      <color rgb="FF111D35"/>
      <color rgb="FFDDFFF4"/>
      <color rgb="FF19276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52546575849798"/>
          <c:y val="5.0925925925925923E-2"/>
          <c:w val="0.77839057694475311"/>
          <c:h val="0.8416746864975212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7FFFD4"/>
            </a:solidFill>
            <a:ln>
              <a:noFill/>
            </a:ln>
            <a:effectLst/>
          </c:spPr>
          <c:invertIfNegative val="0"/>
          <c:cat>
            <c:strRef>
              <c:f>Investimentos!$B$36:$B$41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Investimentos!$C$36:$C$41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37-4294-8BBA-0502A39184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66086192"/>
        <c:axId val="1517790320"/>
      </c:barChart>
      <c:catAx>
        <c:axId val="13660861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17790320"/>
        <c:crosses val="autoZero"/>
        <c:auto val="1"/>
        <c:lblAlgn val="ctr"/>
        <c:lblOffset val="100"/>
        <c:noMultiLvlLbl val="0"/>
      </c:catAx>
      <c:valAx>
        <c:axId val="1517790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66086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111D35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125506</xdr:colOff>
      <xdr:row>2</xdr:row>
      <xdr:rowOff>53644</xdr:rowOff>
    </xdr:from>
    <xdr:to>
      <xdr:col>5</xdr:col>
      <xdr:colOff>0</xdr:colOff>
      <xdr:row>8</xdr:row>
      <xdr:rowOff>166918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7F2885D-095A-4A5B-0DE8-1A7AAFE7BB3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733" b="24994"/>
        <a:stretch>
          <a:fillRect/>
        </a:stretch>
      </xdr:blipFill>
      <xdr:spPr>
        <a:xfrm>
          <a:off x="125506" y="419404"/>
          <a:ext cx="6519134" cy="1210554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42</xdr:row>
      <xdr:rowOff>26670</xdr:rowOff>
    </xdr:from>
    <xdr:to>
      <xdr:col>4</xdr:col>
      <xdr:colOff>22860</xdr:colOff>
      <xdr:row>53</xdr:row>
      <xdr:rowOff>121920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1BF9D66-6A37-53F7-9468-4651992398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D58CD-6EC8-411C-959E-7F2C4C3F925C}">
  <dimension ref="A1:J58"/>
  <sheetViews>
    <sheetView showGridLines="0" showRowColHeaders="0" tabSelected="1" zoomScaleNormal="100" workbookViewId="0">
      <selection activeCell="C32" sqref="C32"/>
    </sheetView>
  </sheetViews>
  <sheetFormatPr defaultColWidth="0" defaultRowHeight="14.4" zeroHeight="1" x14ac:dyDescent="0.3"/>
  <cols>
    <col min="1" max="1" width="3" bestFit="1" customWidth="1"/>
    <col min="2" max="2" width="44.5546875" bestFit="1" customWidth="1"/>
    <col min="3" max="3" width="27.109375" bestFit="1" customWidth="1"/>
    <col min="4" max="4" width="19.88671875" bestFit="1" customWidth="1"/>
    <col min="5" max="5" width="2.33203125" customWidth="1"/>
    <col min="6" max="6" width="3.109375" customWidth="1"/>
    <col min="7" max="16384" width="8.88671875" hidden="1"/>
  </cols>
  <sheetData>
    <row r="1" spans="2:5" x14ac:dyDescent="0.3"/>
    <row r="2" spans="2:5" x14ac:dyDescent="0.3"/>
    <row r="3" spans="2:5" x14ac:dyDescent="0.3"/>
    <row r="4" spans="2:5" x14ac:dyDescent="0.3"/>
    <row r="5" spans="2:5" x14ac:dyDescent="0.3"/>
    <row r="6" spans="2:5" x14ac:dyDescent="0.3"/>
    <row r="7" spans="2:5" x14ac:dyDescent="0.3"/>
    <row r="8" spans="2:5" x14ac:dyDescent="0.3"/>
    <row r="9" spans="2:5" x14ac:dyDescent="0.3"/>
    <row r="10" spans="2:5" ht="15" thickBot="1" x14ac:dyDescent="0.35"/>
    <row r="11" spans="2:5" ht="30.6" thickTop="1" thickBot="1" x14ac:dyDescent="0.45">
      <c r="B11" s="26" t="s">
        <v>14</v>
      </c>
      <c r="C11" s="27"/>
      <c r="D11" s="28"/>
      <c r="E11" s="4"/>
    </row>
    <row r="12" spans="2:5" ht="21" thickBot="1" x14ac:dyDescent="0.5">
      <c r="B12" s="22" t="s">
        <v>16</v>
      </c>
      <c r="C12" s="23"/>
      <c r="D12" s="5">
        <v>2000</v>
      </c>
      <c r="E12" s="4"/>
    </row>
    <row r="13" spans="2:5" ht="21" thickBot="1" x14ac:dyDescent="0.5">
      <c r="B13" s="22" t="s">
        <v>15</v>
      </c>
      <c r="C13" s="23"/>
      <c r="D13" s="58">
        <v>1.0789999999999999E-2</v>
      </c>
      <c r="E13" s="4"/>
    </row>
    <row r="14" spans="2:5" ht="21" thickBot="1" x14ac:dyDescent="0.5">
      <c r="B14" s="24" t="s">
        <v>34</v>
      </c>
      <c r="C14" s="25"/>
      <c r="D14" s="50">
        <f>D12*30%</f>
        <v>600</v>
      </c>
      <c r="E14" s="4"/>
    </row>
    <row r="15" spans="2:5" ht="15" customHeight="1" thickTop="1" thickBot="1" x14ac:dyDescent="0.45">
      <c r="B15" s="4"/>
      <c r="C15" s="4"/>
      <c r="D15" s="4"/>
      <c r="E15" s="4"/>
    </row>
    <row r="16" spans="2:5" ht="33" customHeight="1" thickTop="1" thickBot="1" x14ac:dyDescent="0.45">
      <c r="B16" s="26" t="s">
        <v>4</v>
      </c>
      <c r="C16" s="27"/>
      <c r="D16" s="28"/>
      <c r="E16" s="4"/>
    </row>
    <row r="17" spans="1:10" ht="20.399999999999999" customHeight="1" thickBot="1" x14ac:dyDescent="0.5">
      <c r="B17" s="22" t="s">
        <v>0</v>
      </c>
      <c r="C17" s="23"/>
      <c r="D17" s="6">
        <v>600</v>
      </c>
      <c r="E17" s="4"/>
      <c r="J17" s="1"/>
    </row>
    <row r="18" spans="1:10" ht="20.399999999999999" customHeight="1" thickBot="1" x14ac:dyDescent="0.5">
      <c r="B18" s="22" t="s">
        <v>1</v>
      </c>
      <c r="C18" s="23"/>
      <c r="D18" s="7">
        <v>10</v>
      </c>
      <c r="E18" s="4"/>
    </row>
    <row r="19" spans="1:10" ht="20.399999999999999" customHeight="1" thickBot="1" x14ac:dyDescent="0.5">
      <c r="B19" s="22" t="s">
        <v>2</v>
      </c>
      <c r="C19" s="23"/>
      <c r="D19" s="59">
        <f>rendimento_carteira</f>
        <v>1.0789999999999999E-2</v>
      </c>
      <c r="E19" s="4"/>
    </row>
    <row r="20" spans="1:10" ht="20.399999999999999" customHeight="1" thickBot="1" x14ac:dyDescent="0.5">
      <c r="B20" s="22" t="s">
        <v>3</v>
      </c>
      <c r="C20" s="23"/>
      <c r="D20" s="8">
        <f>FV(taxa_mensal,qtd_anos*12,aporte*-1)</f>
        <v>145970.52751810331</v>
      </c>
      <c r="E20" s="3"/>
      <c r="F20" s="3"/>
    </row>
    <row r="21" spans="1:10" ht="20.399999999999999" customHeight="1" thickBot="1" x14ac:dyDescent="0.5">
      <c r="B21" s="24" t="s">
        <v>5</v>
      </c>
      <c r="C21" s="25"/>
      <c r="D21" s="9">
        <f>D20*$D$13</f>
        <v>1575.0219919203346</v>
      </c>
      <c r="E21" s="3"/>
      <c r="F21" s="10"/>
    </row>
    <row r="22" spans="1:10" ht="17.399999999999999" thickTop="1" x14ac:dyDescent="0.4">
      <c r="B22" s="4"/>
      <c r="C22" s="4"/>
      <c r="D22" s="4"/>
      <c r="E22" s="4"/>
    </row>
    <row r="23" spans="1:10" ht="1.8" customHeight="1" thickBot="1" x14ac:dyDescent="0.45">
      <c r="B23" s="4"/>
      <c r="C23" s="4"/>
      <c r="D23" s="4"/>
      <c r="E23" s="4"/>
    </row>
    <row r="24" spans="1:10" ht="32.4" customHeight="1" thickBot="1" x14ac:dyDescent="0.35">
      <c r="B24" s="29" t="s">
        <v>6</v>
      </c>
      <c r="C24" s="30"/>
      <c r="D24" s="11" t="s">
        <v>13</v>
      </c>
    </row>
    <row r="25" spans="1:10" ht="20.399999999999999" customHeight="1" thickBot="1" x14ac:dyDescent="0.35">
      <c r="A25" s="2">
        <v>2</v>
      </c>
      <c r="B25" s="12" t="s">
        <v>7</v>
      </c>
      <c r="C25" s="14">
        <f t="shared" ref="C25:C30" si="0">FV($D$19,$A25*12,$D$17*-1)</f>
        <v>16336.57637858713</v>
      </c>
      <c r="D25" s="16">
        <f>C25*rendimento_carteira</f>
        <v>176.27165912495511</v>
      </c>
    </row>
    <row r="26" spans="1:10" ht="20.399999999999999" customHeight="1" thickBot="1" x14ac:dyDescent="0.35">
      <c r="A26" s="2">
        <v>5</v>
      </c>
      <c r="B26" s="12" t="s">
        <v>8</v>
      </c>
      <c r="C26" s="14">
        <f t="shared" si="0"/>
        <v>50266.148399092584</v>
      </c>
      <c r="D26" s="16">
        <f t="shared" ref="D26:D30" si="1">C26*rendimento_carteira</f>
        <v>542.371741226209</v>
      </c>
    </row>
    <row r="27" spans="1:10" ht="20.399999999999999" customHeight="1" thickBot="1" x14ac:dyDescent="0.35">
      <c r="A27" s="2">
        <v>10</v>
      </c>
      <c r="B27" s="12" t="s">
        <v>9</v>
      </c>
      <c r="C27" s="14">
        <f t="shared" si="0"/>
        <v>145970.52751810331</v>
      </c>
      <c r="D27" s="16">
        <f t="shared" si="1"/>
        <v>1575.0219919203346</v>
      </c>
    </row>
    <row r="28" spans="1:10" ht="20.399999999999999" customHeight="1" thickBot="1" x14ac:dyDescent="0.35">
      <c r="A28" s="2">
        <v>15</v>
      </c>
      <c r="B28" s="12" t="s">
        <v>10</v>
      </c>
      <c r="C28" s="14">
        <f t="shared" si="0"/>
        <v>328187.15788003255</v>
      </c>
      <c r="D28" s="16">
        <f t="shared" si="1"/>
        <v>3541.1394335255509</v>
      </c>
    </row>
    <row r="29" spans="1:10" ht="20.399999999999999" customHeight="1" thickBot="1" x14ac:dyDescent="0.35">
      <c r="A29" s="2">
        <v>20</v>
      </c>
      <c r="B29" s="12" t="s">
        <v>11</v>
      </c>
      <c r="C29" s="14">
        <f t="shared" si="0"/>
        <v>675119.04005824833</v>
      </c>
      <c r="D29" s="16">
        <f t="shared" si="1"/>
        <v>7284.5344422284988</v>
      </c>
    </row>
    <row r="30" spans="1:10" ht="20.399999999999999" customHeight="1" thickBot="1" x14ac:dyDescent="0.35">
      <c r="A30" s="2">
        <v>30</v>
      </c>
      <c r="B30" s="13" t="s">
        <v>12</v>
      </c>
      <c r="C30" s="15">
        <f t="shared" si="0"/>
        <v>2593301.7930028285</v>
      </c>
      <c r="D30" s="17">
        <f t="shared" si="1"/>
        <v>27981.726346500516</v>
      </c>
    </row>
    <row r="31" spans="1:10" x14ac:dyDescent="0.3"/>
    <row r="32" spans="1:10" ht="24.6" customHeight="1" x14ac:dyDescent="0.3">
      <c r="B32" s="60" t="s">
        <v>35</v>
      </c>
      <c r="C32" s="21" t="s">
        <v>18</v>
      </c>
      <c r="D32" s="19"/>
    </row>
    <row r="33" spans="2:4" ht="25.2" customHeight="1" x14ac:dyDescent="0.3">
      <c r="B33" s="61" t="s">
        <v>19</v>
      </c>
      <c r="C33" s="20">
        <f>aporte</f>
        <v>600</v>
      </c>
      <c r="D33" s="18"/>
    </row>
    <row r="34" spans="2:4" ht="4.2" customHeight="1" x14ac:dyDescent="0.3"/>
    <row r="35" spans="2:4" ht="18" x14ac:dyDescent="0.3">
      <c r="B35" s="56" t="s">
        <v>20</v>
      </c>
      <c r="C35" s="56" t="s">
        <v>21</v>
      </c>
      <c r="D35" s="56" t="s">
        <v>22</v>
      </c>
    </row>
    <row r="36" spans="2:4" ht="15.6" x14ac:dyDescent="0.3">
      <c r="B36" s="31" t="s">
        <v>23</v>
      </c>
      <c r="C36" s="32">
        <f>VLOOKUP($C$32&amp;"-"&amp;B36,Planilha2!$A$2:$D$20,4,FALSE)</f>
        <v>0.32</v>
      </c>
      <c r="D36" s="33">
        <f>C36*$C$33</f>
        <v>192</v>
      </c>
    </row>
    <row r="37" spans="2:4" ht="15.6" x14ac:dyDescent="0.3">
      <c r="B37" s="31" t="s">
        <v>24</v>
      </c>
      <c r="C37" s="32">
        <f>VLOOKUP($C$32&amp;"-"&amp;B37,Planilha2!$A$2:$D$20,4,FALSE)</f>
        <v>0.35</v>
      </c>
      <c r="D37" s="33">
        <f t="shared" ref="D37:D41" si="2">C37*$C$33</f>
        <v>210</v>
      </c>
    </row>
    <row r="38" spans="2:4" ht="15.6" x14ac:dyDescent="0.3">
      <c r="B38" s="31" t="s">
        <v>25</v>
      </c>
      <c r="C38" s="32">
        <f>VLOOKUP($C$32&amp;"-"&amp;B38,Planilha2!$A$2:$D$20,4,FALSE)</f>
        <v>0.08</v>
      </c>
      <c r="D38" s="33">
        <f t="shared" si="2"/>
        <v>48</v>
      </c>
    </row>
    <row r="39" spans="2:4" ht="15.6" x14ac:dyDescent="0.3">
      <c r="B39" s="31" t="s">
        <v>26</v>
      </c>
      <c r="C39" s="32">
        <f>VLOOKUP($C$32&amp;"-"&amp;B39,Planilha2!$A$2:$D$20,4,FALSE)</f>
        <v>0.05</v>
      </c>
      <c r="D39" s="33">
        <f t="shared" si="2"/>
        <v>30</v>
      </c>
    </row>
    <row r="40" spans="2:4" ht="15.6" x14ac:dyDescent="0.3">
      <c r="B40" s="31" t="s">
        <v>27</v>
      </c>
      <c r="C40" s="32">
        <f>VLOOKUP($C$32&amp;"-"&amp;B40,Planilha2!$A$2:$D$20,4,FALSE)</f>
        <v>0.1</v>
      </c>
      <c r="D40" s="33">
        <f t="shared" si="2"/>
        <v>60</v>
      </c>
    </row>
    <row r="41" spans="2:4" ht="15.6" x14ac:dyDescent="0.3">
      <c r="B41" s="55" t="s">
        <v>28</v>
      </c>
      <c r="C41" s="34">
        <f>VLOOKUP($C$32&amp;"-"&amp;B41,Planilha2!$A$2:$D$20,4,FALSE)</f>
        <v>0.1</v>
      </c>
      <c r="D41" s="54">
        <f t="shared" si="2"/>
        <v>60</v>
      </c>
    </row>
    <row r="42" spans="2:4" ht="15.6" x14ac:dyDescent="0.3">
      <c r="B42" s="51"/>
      <c r="C42" s="52"/>
      <c r="D42" s="53">
        <f>SUM(D36:D41)</f>
        <v>600</v>
      </c>
    </row>
    <row r="43" spans="2:4" x14ac:dyDescent="0.3"/>
    <row r="44" spans="2:4" x14ac:dyDescent="0.3"/>
    <row r="45" spans="2:4" x14ac:dyDescent="0.3"/>
    <row r="46" spans="2:4" ht="51.6" customHeight="1" x14ac:dyDescent="0.3"/>
    <row r="47" spans="2:4" x14ac:dyDescent="0.3"/>
    <row r="48" spans="2:4" x14ac:dyDescent="0.3"/>
    <row r="49" spans="9:9" x14ac:dyDescent="0.3"/>
    <row r="50" spans="9:9" x14ac:dyDescent="0.3">
      <c r="I50" s="57"/>
    </row>
    <row r="51" spans="9:9" x14ac:dyDescent="0.3"/>
    <row r="52" spans="9:9" x14ac:dyDescent="0.3"/>
    <row r="53" spans="9:9" x14ac:dyDescent="0.3"/>
    <row r="54" spans="9:9" x14ac:dyDescent="0.3"/>
    <row r="55" spans="9:9" x14ac:dyDescent="0.3"/>
    <row r="56" spans="9:9" x14ac:dyDescent="0.3"/>
    <row r="58" spans="9:9" ht="14.4" hidden="1" customHeight="1" x14ac:dyDescent="0.3"/>
  </sheetData>
  <mergeCells count="11">
    <mergeCell ref="B24:C24"/>
    <mergeCell ref="B11:D11"/>
    <mergeCell ref="B16:D16"/>
    <mergeCell ref="B12:C12"/>
    <mergeCell ref="B13:C13"/>
    <mergeCell ref="B14:C14"/>
    <mergeCell ref="B17:C17"/>
    <mergeCell ref="B18:C18"/>
    <mergeCell ref="B19:C19"/>
    <mergeCell ref="B20:C20"/>
    <mergeCell ref="B21:C21"/>
  </mergeCells>
  <dataValidations count="2">
    <dataValidation type="list" allowBlank="1" showInputMessage="1" showErrorMessage="1" sqref="D32" xr:uid="{0DBB5535-6522-4402-BEFF-E30C68CB9B96}">
      <formula1>"CONSERVADOR,MODERADO,AGRESSIVO"</formula1>
    </dataValidation>
    <dataValidation type="list" allowBlank="1" showInputMessage="1" showErrorMessage="1" sqref="C32" xr:uid="{07EBBAF5-5707-4FC7-8C78-B9381B439E25}">
      <formula1>"Conservador,Moderado,Agressivo"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98E2F-3DE7-4E70-9893-B4838D1FE194}">
  <dimension ref="A2:D20"/>
  <sheetViews>
    <sheetView workbookViewId="0">
      <selection activeCell="G17" sqref="G17"/>
    </sheetView>
  </sheetViews>
  <sheetFormatPr defaultRowHeight="14.4" x14ac:dyDescent="0.3"/>
  <cols>
    <col min="1" max="1" width="32.33203125" bestFit="1" customWidth="1"/>
    <col min="2" max="2" width="12.77734375" bestFit="1" customWidth="1"/>
    <col min="3" max="3" width="19.5546875" bestFit="1" customWidth="1"/>
    <col min="4" max="4" width="4.77734375" bestFit="1" customWidth="1"/>
  </cols>
  <sheetData>
    <row r="2" spans="1:4" ht="15" thickBot="1" x14ac:dyDescent="0.35">
      <c r="A2" s="38" t="s">
        <v>32</v>
      </c>
      <c r="B2" s="35" t="s">
        <v>17</v>
      </c>
      <c r="C2" s="35" t="s">
        <v>29</v>
      </c>
      <c r="D2" s="39" t="s">
        <v>31</v>
      </c>
    </row>
    <row r="3" spans="1:4" ht="15.6" x14ac:dyDescent="0.3">
      <c r="A3" s="40" t="str">
        <f>B3&amp;"-"&amp;C3</f>
        <v>Conservador-PAPEL</v>
      </c>
      <c r="B3" s="41" t="s">
        <v>30</v>
      </c>
      <c r="C3" s="42" t="s">
        <v>23</v>
      </c>
      <c r="D3" s="43">
        <v>0.3</v>
      </c>
    </row>
    <row r="4" spans="1:4" ht="15.6" x14ac:dyDescent="0.3">
      <c r="A4" s="40" t="str">
        <f t="shared" ref="A4:A20" si="0">B4&amp;"-"&amp;C4</f>
        <v>Conservador-TIJOLO</v>
      </c>
      <c r="B4" s="41" t="s">
        <v>30</v>
      </c>
      <c r="C4" s="42" t="s">
        <v>24</v>
      </c>
      <c r="D4" s="43">
        <v>0.5</v>
      </c>
    </row>
    <row r="5" spans="1:4" ht="15.6" x14ac:dyDescent="0.3">
      <c r="A5" s="40" t="str">
        <f t="shared" si="0"/>
        <v>Conservador-HÍBRIDOS</v>
      </c>
      <c r="B5" s="41" t="s">
        <v>30</v>
      </c>
      <c r="C5" s="42" t="s">
        <v>25</v>
      </c>
      <c r="D5" s="43">
        <v>0.1</v>
      </c>
    </row>
    <row r="6" spans="1:4" ht="15.6" x14ac:dyDescent="0.3">
      <c r="A6" s="40" t="str">
        <f t="shared" si="0"/>
        <v>Conservador-FOFs</v>
      </c>
      <c r="B6" s="41" t="s">
        <v>30</v>
      </c>
      <c r="C6" s="42" t="s">
        <v>26</v>
      </c>
      <c r="D6" s="43">
        <v>0.1</v>
      </c>
    </row>
    <row r="7" spans="1:4" ht="15.6" x14ac:dyDescent="0.3">
      <c r="A7" s="40" t="str">
        <f t="shared" si="0"/>
        <v>Conservador-DESENVOLVIMENTO</v>
      </c>
      <c r="B7" s="41" t="s">
        <v>30</v>
      </c>
      <c r="C7" s="42" t="s">
        <v>27</v>
      </c>
      <c r="D7" s="43">
        <v>0</v>
      </c>
    </row>
    <row r="8" spans="1:4" ht="16.2" thickBot="1" x14ac:dyDescent="0.35">
      <c r="A8" s="44" t="str">
        <f t="shared" si="0"/>
        <v>Conservador-HOTELARIAS</v>
      </c>
      <c r="B8" s="36" t="s">
        <v>30</v>
      </c>
      <c r="C8" s="37" t="s">
        <v>28</v>
      </c>
      <c r="D8" s="45">
        <v>0</v>
      </c>
    </row>
    <row r="9" spans="1:4" ht="15.6" x14ac:dyDescent="0.3">
      <c r="A9" s="40" t="str">
        <f t="shared" si="0"/>
        <v>Moderado-PAPEL</v>
      </c>
      <c r="B9" s="41" t="s">
        <v>18</v>
      </c>
      <c r="C9" s="42" t="s">
        <v>23</v>
      </c>
      <c r="D9" s="43">
        <v>0.32</v>
      </c>
    </row>
    <row r="10" spans="1:4" ht="15.6" x14ac:dyDescent="0.3">
      <c r="A10" s="40" t="str">
        <f t="shared" si="0"/>
        <v>Moderado-TIJOLO</v>
      </c>
      <c r="B10" s="41" t="s">
        <v>18</v>
      </c>
      <c r="C10" s="42" t="s">
        <v>24</v>
      </c>
      <c r="D10" s="43">
        <v>0.35</v>
      </c>
    </row>
    <row r="11" spans="1:4" ht="15.6" x14ac:dyDescent="0.3">
      <c r="A11" s="40" t="str">
        <f t="shared" si="0"/>
        <v>Moderado-HÍBRIDOS</v>
      </c>
      <c r="B11" s="41" t="s">
        <v>18</v>
      </c>
      <c r="C11" s="42" t="s">
        <v>25</v>
      </c>
      <c r="D11" s="43">
        <v>0.08</v>
      </c>
    </row>
    <row r="12" spans="1:4" ht="15.6" x14ac:dyDescent="0.3">
      <c r="A12" s="40" t="str">
        <f t="shared" si="0"/>
        <v>Moderado-FOFs</v>
      </c>
      <c r="B12" s="41" t="s">
        <v>18</v>
      </c>
      <c r="C12" s="42" t="s">
        <v>26</v>
      </c>
      <c r="D12" s="43">
        <v>0.05</v>
      </c>
    </row>
    <row r="13" spans="1:4" ht="15.6" x14ac:dyDescent="0.3">
      <c r="A13" s="40" t="str">
        <f t="shared" si="0"/>
        <v>Moderado-DESENVOLVIMENTO</v>
      </c>
      <c r="B13" s="41" t="s">
        <v>18</v>
      </c>
      <c r="C13" s="42" t="s">
        <v>27</v>
      </c>
      <c r="D13" s="43">
        <v>0.1</v>
      </c>
    </row>
    <row r="14" spans="1:4" ht="16.2" thickBot="1" x14ac:dyDescent="0.35">
      <c r="A14" s="44" t="str">
        <f t="shared" si="0"/>
        <v>Moderado-HOTELARIAS</v>
      </c>
      <c r="B14" s="36" t="s">
        <v>18</v>
      </c>
      <c r="C14" s="37" t="s">
        <v>28</v>
      </c>
      <c r="D14" s="45">
        <v>0.1</v>
      </c>
    </row>
    <row r="15" spans="1:4" ht="15.6" x14ac:dyDescent="0.3">
      <c r="A15" s="40" t="str">
        <f t="shared" si="0"/>
        <v>Agressivo-PAPEL</v>
      </c>
      <c r="B15" s="41" t="s">
        <v>33</v>
      </c>
      <c r="C15" s="42" t="s">
        <v>23</v>
      </c>
      <c r="D15" s="43">
        <v>0.5</v>
      </c>
    </row>
    <row r="16" spans="1:4" ht="15.6" x14ac:dyDescent="0.3">
      <c r="A16" s="40" t="str">
        <f t="shared" si="0"/>
        <v>Agressivo-TIJOLO</v>
      </c>
      <c r="B16" s="41" t="s">
        <v>33</v>
      </c>
      <c r="C16" s="42" t="s">
        <v>24</v>
      </c>
      <c r="D16" s="43">
        <v>0.1</v>
      </c>
    </row>
    <row r="17" spans="1:4" ht="15.6" x14ac:dyDescent="0.3">
      <c r="A17" s="40" t="str">
        <f t="shared" si="0"/>
        <v>Agressivo-HÍBRIDOS</v>
      </c>
      <c r="B17" s="41" t="s">
        <v>33</v>
      </c>
      <c r="C17" s="42" t="s">
        <v>25</v>
      </c>
      <c r="D17" s="43">
        <v>0.05</v>
      </c>
    </row>
    <row r="18" spans="1:4" ht="15.6" x14ac:dyDescent="0.3">
      <c r="A18" s="40" t="str">
        <f t="shared" si="0"/>
        <v>Agressivo-FOFs</v>
      </c>
      <c r="B18" s="41" t="s">
        <v>33</v>
      </c>
      <c r="C18" s="42" t="s">
        <v>26</v>
      </c>
      <c r="D18" s="43">
        <v>0.05</v>
      </c>
    </row>
    <row r="19" spans="1:4" ht="15.6" x14ac:dyDescent="0.3">
      <c r="A19" s="40" t="str">
        <f t="shared" si="0"/>
        <v>Agressivo-DESENVOLVIMENTO</v>
      </c>
      <c r="B19" s="41" t="s">
        <v>33</v>
      </c>
      <c r="C19" s="42" t="s">
        <v>27</v>
      </c>
      <c r="D19" s="43">
        <v>0.2</v>
      </c>
    </row>
    <row r="20" spans="1:4" ht="15.6" x14ac:dyDescent="0.3">
      <c r="A20" s="46" t="str">
        <f t="shared" si="0"/>
        <v>Agressivo-HOTELARIAS</v>
      </c>
      <c r="B20" s="47" t="s">
        <v>33</v>
      </c>
      <c r="C20" s="48" t="s">
        <v>28</v>
      </c>
      <c r="D20" s="49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6</vt:i4>
      </vt:variant>
    </vt:vector>
  </HeadingPairs>
  <TitlesOfParts>
    <vt:vector size="8" baseType="lpstr">
      <vt:lpstr>Investimentos</vt:lpstr>
      <vt:lpstr>Planilha2</vt:lpstr>
      <vt:lpstr>aporte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Caroline Ketlyn</dc:creator>
  <cp:lastModifiedBy>Caroline Ketlyn</cp:lastModifiedBy>
  <dcterms:created xsi:type="dcterms:W3CDTF">2026-10-07T17:35:18Z</dcterms:created>
  <dcterms:modified xsi:type="dcterms:W3CDTF">2026-10-09T00:41:20Z</dcterms:modified>
</cp:coreProperties>
</file>